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Юнит-экономи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<sst xmlns="http://schemas.openxmlformats.org/spreadsheetml/2006/main" count="36" uniqueCount="36">
  <si>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КАЛЬКУЛЯТОР ЮНИТ-ЭКОНОМИКИ КАРТОЧКИ ТОВАРА (WB / Ozon)</t>
  </si>
  <si>
    <t xml:space="preserve">Заполните жёлтые ячейки своими цифрами — всё остальное посчитается само. Значения в примере — условные, для образца формата.</t>
  </si>
  <si>
    <t xml:space="preserve">1. ЦЕНА И КОМИССИЯ МАРКЕТПЛЕЙСА</t>
  </si>
  <si>
    <t xml:space="preserve">Цена продажи для покупателя (после скидок)</t>
  </si>
  <si>
    <t xml:space="preserve">цена, которую платит покупатель</t>
  </si>
  <si>
    <t xml:space="preserve">Комиссия маркетплейса, % от цены</t>
  </si>
  <si>
    <t xml:space="preserve">ставка вашей категории (WB: раздел «Комиссия»)</t>
  </si>
  <si>
    <t xml:space="preserve">Комиссия маркетплейса, ₽</t>
  </si>
  <si>
    <t xml:space="preserve">2. РАСХОДЫ НА ОДНУ ПРОДАННУЮ ЕДИНИЦУ</t>
  </si>
  <si>
    <t xml:space="preserve">Себестоимость закупки (с доставкой до вас)</t>
  </si>
  <si>
    <t xml:space="preserve">Упаковка и маркировка</t>
  </si>
  <si>
    <t xml:space="preserve">Доставка до склада маркетплейса, на единицу</t>
  </si>
  <si>
    <t xml:space="preserve">Логистика МП до покупателя (прямая), за шт.</t>
  </si>
  <si>
    <t xml:space="preserve">Обратная логистика (возврат), за шт.</t>
  </si>
  <si>
    <t xml:space="preserve">Процент выкупа</t>
  </si>
  <si>
    <t xml:space="preserve">одежда ~30–60%, товары для дома ~90%+</t>
  </si>
  <si>
    <t xml:space="preserve">Логистика на 1 выкуп (с учётом невыкупов)</t>
  </si>
  <si>
    <t xml:space="preserve">прямая + катания невыкупленных на один выкуп</t>
  </si>
  <si>
    <t xml:space="preserve">Хранение на складе МП, на единицу</t>
  </si>
  <si>
    <t xml:space="preserve">Реклама, % от цены (ДРР)</t>
  </si>
  <si>
    <t xml:space="preserve">Реклама, ₽ на единицу</t>
  </si>
  <si>
    <t xml:space="preserve">Прочие расходы на единицу (брак, фотосъёмка и т.п.)</t>
  </si>
  <si>
    <t xml:space="preserve">3. НАЛОГ</t>
  </si>
  <si>
    <t xml:space="preserve">Ставка налога, % от выручки (УСН «доходы»)</t>
  </si>
  <si>
    <t xml:space="preserve">если у вас УСН «доходы-расходы» или ОСНО — ставьте свою эффективную ставку</t>
  </si>
  <si>
    <t xml:space="preserve">Налог, ₽ с единицы</t>
  </si>
  <si>
    <t xml:space="preserve">4. ИТОГ ПО ЕДИНИЦЕ</t>
  </si>
  <si>
    <t xml:space="preserve">Все затраты на 1 проданную единицу</t>
  </si>
  <si>
    <t xml:space="preserve">ПРИБЫЛЬ С ЕДИНИЦЫ</t>
  </si>
  <si>
    <t xml:space="preserve">если минус — карточка возит деньги из вашего кармана</t>
  </si>
  <si>
    <t xml:space="preserve">Маржинальность (прибыль / цена)</t>
  </si>
  <si>
    <t xml:space="preserve">Наценка на себестоимость</t>
  </si>
  <si>
    <t xml:space="preserve">5. ПРИКИНЕМ МЕСЯЦ</t>
  </si>
  <si>
    <t xml:space="preserve">Продаж (выкупов) в месяц, шт.</t>
  </si>
  <si>
    <t xml:space="preserve">Прибыль за месяц по этой карточке</t>
  </si>
  <si>
    <t xml:space="preserve">Хотите видеть эти цифры по всем карточкам сразу, из реального отчёта WB — загрузите отчёт на mp.ridfinance.ru и посмотрите сами. Вопросы: @RidFinancebot_bot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</si>
</sst>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₽&quot;;[RED]\-#,##0.00&quot; ₽&quot;;\–"/>
    <numFmt numFmtId="166" formatCode="0.0%;[RED]\-0.0%;\–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3"/>
      <color rgb="FFA01A6E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b val="true"/>
      <sz val="14"/>
      <color rgb="FF0A655E"/>
      <name val="Times New Roman"/>
      <family val="0"/>
      <charset val="1"/>
    </font>
    <font>
      <b val="true"/>
      <sz val="12"/>
      <color rgb="FF0A655E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655E"/>
        <bgColor rgb="FF008080"/>
      </patternFill>
    </fill>
    <fill>
      <patternFill patternType="solid">
        <fgColor rgb="FFFFF2A8"/>
        <bgColor rgb="FFF2F7F6"/>
      </patternFill>
    </fill>
    <fill>
      <patternFill patternType="solid">
        <fgColor rgb="FFF2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55E"/>
      <rgbColor rgb="FFBFBFBF"/>
      <rgbColor rgb="FF808080"/>
      <rgbColor rgb="FF9999FF"/>
      <rgbColor rgb="FFA01A6E"/>
      <rgbColor rgb="FFF2F7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30" hidden="false" customHeight="true" outlineLevel="0" collapsed="false">
      <c r="B3" s="2" t="s">
        <v>1</v>
      </c>
      <c r="C3" s="2"/>
      <c r="D3" s="2"/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v>1490</v>
      </c>
      <c r="D6" s="4" t="s">
        <v>4</v>
      </c>
    </row>
    <row r="7" customFormat="false" ht="15" hidden="false" customHeight="false" outlineLevel="0" collapsed="false">
      <c r="B7" s="4" t="s">
        <v>5</v>
      </c>
      <c r="C7" s="6" t="n">
        <v>0.23</v>
      </c>
      <c r="D7" s="4" t="s">
        <v>6</v>
      </c>
    </row>
    <row r="8" customFormat="false" ht="15" hidden="false" customHeight="false" outlineLevel="0" collapsed="false">
      <c r="B8" s="4" t="s">
        <v>7</v>
      </c>
      <c r="C8" s="7" t="n">
        <f aca="false">C6*C7</f>
        <v>342.7</v>
      </c>
    </row>
    <row r="10" customFormat="false" ht="16.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4" t="s">
        <v>9</v>
      </c>
      <c r="C11" s="5" t="n">
        <v>420</v>
      </c>
    </row>
    <row r="12" customFormat="false" ht="15" hidden="false" customHeight="false" outlineLevel="0" collapsed="false">
      <c r="B12" s="4" t="s">
        <v>10</v>
      </c>
      <c r="C12" s="5" t="n">
        <v>25</v>
      </c>
    </row>
    <row r="13" customFormat="false" ht="15" hidden="false" customHeight="false" outlineLevel="0" collapsed="false">
      <c r="B13" s="4" t="s">
        <v>11</v>
      </c>
      <c r="C13" s="5" t="n">
        <v>15</v>
      </c>
    </row>
    <row r="14" customFormat="false" ht="15" hidden="false" customHeight="false" outlineLevel="0" collapsed="false">
      <c r="B14" s="4" t="s">
        <v>12</v>
      </c>
      <c r="C14" s="5" t="n">
        <v>72</v>
      </c>
    </row>
    <row r="15" customFormat="false" ht="15" hidden="false" customHeight="false" outlineLevel="0" collapsed="false">
      <c r="B15" s="4" t="s">
        <v>13</v>
      </c>
      <c r="C15" s="5" t="n">
        <v>50</v>
      </c>
    </row>
    <row r="16" customFormat="false" ht="15" hidden="false" customHeight="false" outlineLevel="0" collapsed="false">
      <c r="B16" s="4" t="s">
        <v>14</v>
      </c>
      <c r="C16" s="6" t="n">
        <v>0.55</v>
      </c>
      <c r="D16" s="4" t="s">
        <v>15</v>
      </c>
    </row>
    <row r="17" customFormat="false" ht="15" hidden="false" customHeight="false" outlineLevel="0" collapsed="false">
      <c r="B17" s="4" t="s">
        <v>16</v>
      </c>
      <c r="C17" s="7" t="n">
        <f aca="false">IF(C16=0,0,(C14+(C14+C15)*(1-C16)/C16))</f>
        <v>171.818181818182</v>
      </c>
      <c r="D17" s="4" t="s">
        <v>17</v>
      </c>
    </row>
    <row r="18" customFormat="false" ht="15" hidden="false" customHeight="false" outlineLevel="0" collapsed="false">
      <c r="B18" s="4" t="s">
        <v>18</v>
      </c>
      <c r="C18" s="5" t="n">
        <v>12</v>
      </c>
    </row>
    <row r="19" customFormat="false" ht="15" hidden="false" customHeight="false" outlineLevel="0" collapsed="false">
      <c r="B19" s="4" t="s">
        <v>19</v>
      </c>
      <c r="C19" s="6" t="n">
        <v>0.1</v>
      </c>
    </row>
    <row r="20" customFormat="false" ht="15" hidden="false" customHeight="false" outlineLevel="0" collapsed="false">
      <c r="B20" s="4" t="s">
        <v>20</v>
      </c>
      <c r="C20" s="7" t="n">
        <f aca="false">C6*C19</f>
        <v>149</v>
      </c>
    </row>
    <row r="21" customFormat="false" ht="15" hidden="false" customHeight="false" outlineLevel="0" collapsed="false">
      <c r="B21" s="4" t="s">
        <v>21</v>
      </c>
      <c r="C21" s="5" t="n">
        <v>20</v>
      </c>
    </row>
    <row r="23" customFormat="false" ht="16.15" hidden="false" customHeight="false" outlineLevel="0" collapsed="false">
      <c r="B23" s="3" t="s">
        <v>22</v>
      </c>
    </row>
    <row r="24" customFormat="false" ht="26.85" hidden="false" customHeight="false" outlineLevel="0" collapsed="false">
      <c r="B24" s="4" t="s">
        <v>23</v>
      </c>
      <c r="C24" s="6" t="n">
        <v>0.06</v>
      </c>
      <c r="D24" s="8" t="s">
        <v>24</v>
      </c>
    </row>
    <row r="25" customFormat="false" ht="15" hidden="false" customHeight="false" outlineLevel="0" collapsed="false">
      <c r="B25" s="4" t="s">
        <v>25</v>
      </c>
      <c r="C25" s="7" t="n">
        <f aca="false">C6*C24</f>
        <v>89.4</v>
      </c>
    </row>
    <row r="27" customFormat="false" ht="16.15" hidden="false" customHeight="false" outlineLevel="0" collapsed="false">
      <c r="B27" s="3" t="s">
        <v>26</v>
      </c>
    </row>
    <row r="28" customFormat="false" ht="15" hidden="false" customHeight="false" outlineLevel="0" collapsed="false">
      <c r="B28" s="9" t="s">
        <v>27</v>
      </c>
      <c r="C28" s="10" t="n">
        <f aca="false">C8+C11+C12+C13+C17+C18+C20+C21+C25</f>
        <v>1244.91818181818</v>
      </c>
    </row>
    <row r="29" customFormat="false" ht="24" hidden="false" customHeight="true" outlineLevel="0" collapsed="false">
      <c r="B29" s="11" t="s">
        <v>28</v>
      </c>
      <c r="C29" s="12" t="n">
        <f aca="false">C6-C28</f>
        <v>245.081818181818</v>
      </c>
      <c r="D29" s="13" t="s">
        <v>29</v>
      </c>
    </row>
    <row r="30" customFormat="false" ht="15" hidden="false" customHeight="false" outlineLevel="0" collapsed="false">
      <c r="B30" s="9" t="s">
        <v>30</v>
      </c>
      <c r="C30" s="14" t="n">
        <f aca="false">IF(C6=0,0,C29/C6)</f>
        <v>0.164484441732764</v>
      </c>
    </row>
    <row r="31" customFormat="false" ht="15" hidden="false" customHeight="false" outlineLevel="0" collapsed="false">
      <c r="B31" s="4" t="s">
        <v>31</v>
      </c>
      <c r="C31" s="15" t="n">
        <f aca="false">IF(C11=0,0,(C6-C11)/C11)</f>
        <v>2.54761904761905</v>
      </c>
    </row>
    <row r="33" customFormat="false" ht="16.15" hidden="false" customHeight="false" outlineLevel="0" collapsed="false">
      <c r="B33" s="3" t="s">
        <v>32</v>
      </c>
    </row>
    <row r="34" customFormat="false" ht="15" hidden="false" customHeight="false" outlineLevel="0" collapsed="false">
      <c r="B34" s="4" t="s">
        <v>33</v>
      </c>
      <c r="C34" s="16" t="n">
        <v>300</v>
      </c>
    </row>
    <row r="35" customFormat="false" ht="24" hidden="false" customHeight="true" outlineLevel="0" collapsed="false">
      <c r="B35" s="11" t="s">
        <v>34</v>
      </c>
      <c r="C35" s="12" t="n">
        <f aca="false">C29*C34</f>
        <v>73524.5454545454</v>
      </c>
    </row>
    <row r="37" customFormat="false" ht="30" hidden="false" customHeight="true" outlineLevel="0" collapsed="false">
      <c r="B37" s="17" t="s">
        <v>35</v>
      </c>
      <c r="C37" s="17"/>
      <c r="D37" s="17"/>
    </row>
  </sheetData>
  <mergeCells count="3">
    <mergeCell ref="B2:D2"/>
    <mergeCell ref="B3:D3"/>
    <mergeCell ref="B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2026-09-23T12:58:45Z</dcterms:created>
  <dc:creator>openpyxl</dc:creator>
  <dc:description/>
  <dc:language>en-US</dc:language>
  <cp:lastModifiedBy/>
  <dcterms:modified xsi:type="dcterms:W3CDTF">2026-09-23T12:58:45Z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