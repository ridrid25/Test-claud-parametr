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;&quot;–&quot;"/>
    <numFmt numFmtId="165" formatCode="#,##0&quot; ₽&quot;;[Red]-#,##0&quot; ₽&quot;;&quot;–&quot;"/>
  </numFmts>
  <fonts count="10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color rgb="00000000"/>
      <sz val="12"/>
    </font>
    <font>
      <name val="Times New Roman"/>
      <b val="1"/>
      <color rgb="00A01A6E"/>
      <sz val="13"/>
    </font>
    <font>
      <name val="Times New Roman"/>
      <b val="1"/>
      <color rgb="00000000"/>
      <sz val="12"/>
    </font>
    <font>
      <name val="Times New Roman"/>
      <b val="1"/>
      <color rgb="000A655E"/>
      <sz val="13"/>
    </font>
    <font>
      <name val="Times New Roman"/>
      <b val="1"/>
      <color rgb="001E7B1E"/>
      <sz val="12"/>
    </font>
    <font>
      <name val="Times New Roman"/>
      <b val="1"/>
      <color rgb="00C00000"/>
      <sz val="12"/>
    </font>
    <font>
      <name val="Times New Roman"/>
      <b val="1"/>
      <color rgb="00FFFFFF"/>
      <sz val="14"/>
    </font>
    <font>
      <name val="Times New Roman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A655E"/>
      </patternFill>
    </fill>
    <fill>
      <patternFill patternType="solid">
        <fgColor rgb="00FFF2A8"/>
      </patternFill>
    </fill>
    <fill>
      <patternFill patternType="solid">
        <fgColor rgb="00F2F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5" fontId="8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5" customWidth="1" min="3" max="3"/>
    <col width="15" customWidth="1" min="4" max="4"/>
    <col width="42" customWidth="1" min="5" max="5"/>
  </cols>
  <sheetData>
    <row r="2" ht="30" customHeight="1">
      <c r="B2" s="1" t="inlineStr">
        <is>
          <t>МАРКЕТИНГОВЫЙ ПЛАН ПРОДАЖ · RIDFINANCE</t>
        </is>
      </c>
    </row>
    <row r="3" ht="30" customHeight="1">
      <c r="B3" s="2" t="inlineStr">
        <is>
          <t>Две линии: А — селлеры WB/Ozon (масс, бандл 1 990 ₽), Б — VibeFin (1С → дашборд, высокий чек). Жёлтые ячейки — ваши плановые вводные, всё остальное считается само. Дата: 28.09.2026.</t>
        </is>
      </c>
    </row>
    <row r="5">
      <c r="B5" s="3" t="inlineStr">
        <is>
          <t>ЛИНИЯ А — СЕЛЛЕРЫ: ВОРОНКА (эталонные конверсии из разбора)</t>
        </is>
      </c>
    </row>
    <row r="6">
      <c r="B6" s="4" t="inlineStr">
        <is>
          <t>Этап</t>
        </is>
      </c>
      <c r="C6" s="5" t="inlineStr">
        <is>
          <t>Значение</t>
        </is>
      </c>
      <c r="D6" s="5" t="inlineStr">
        <is>
          <t>Конверсия</t>
        </is>
      </c>
      <c r="E6" s="4" t="inlineStr">
        <is>
          <t>Комментарий</t>
        </is>
      </c>
    </row>
    <row r="7">
      <c r="B7" s="6" t="inlineStr">
        <is>
          <t>Охват Reels, в месяц</t>
        </is>
      </c>
      <c r="C7" s="7" t="n">
        <v>30000</v>
      </c>
      <c r="E7" s="6" t="inlineStr">
        <is>
          <t>2–3 ролика в неделю, конвейер сборки готов</t>
        </is>
      </c>
    </row>
    <row r="8">
      <c r="B8" s="6" t="inlineStr">
        <is>
          <t>Клики / кодовое слово ПРИБЫЛЬ</t>
        </is>
      </c>
      <c r="C8" s="8">
        <f>C7*D8</f>
        <v/>
      </c>
      <c r="D8" s="9" t="n">
        <v>0.0313</v>
      </c>
      <c r="E8" s="6" t="inlineStr">
        <is>
          <t>CTR из эталонного разбора</t>
        </is>
      </c>
    </row>
    <row r="9">
      <c r="B9" s="6" t="inlineStr">
        <is>
          <t>Дошли до бота (лид-магнит)</t>
        </is>
      </c>
      <c r="C9" s="8">
        <f>C8*D9</f>
        <v/>
      </c>
      <c r="D9" s="9" t="n">
        <v>0.6</v>
      </c>
      <c r="E9" s="6" t="inlineStr">
        <is>
          <t>калькулятор юнит-экономики — готов</t>
        </is>
      </c>
    </row>
    <row r="10">
      <c r="B10" s="6" t="inlineStr">
        <is>
          <t>Оплаты бандла (после 15 писем)</t>
        </is>
      </c>
      <c r="C10" s="8">
        <f>C9*D10</f>
        <v/>
      </c>
      <c r="D10" s="9" t="n">
        <v>0.073</v>
      </c>
      <c r="E10" s="6" t="inlineStr">
        <is>
          <t>серия писем написана, ждёт подключения оплаты</t>
        </is>
      </c>
    </row>
    <row r="11">
      <c r="B11" s="6" t="inlineStr">
        <is>
          <t>Средний чек (бандл)</t>
        </is>
      </c>
      <c r="C11" s="10" t="n">
        <v>1990</v>
      </c>
      <c r="E11" s="6" t="inlineStr">
        <is>
          <t>дашборд 1 490 + гайд 690 + чек-лист 490 = 2 670; выгода 680</t>
        </is>
      </c>
    </row>
    <row r="12" ht="22" customHeight="1">
      <c r="B12" s="11" t="inlineStr">
        <is>
          <t>ВЫРУЧКА ЛИНИИ А, МЕС</t>
        </is>
      </c>
      <c r="C12" s="12">
        <f>ROUND(C10,0)*C11</f>
        <v/>
      </c>
      <c r="E12" s="13" t="inlineStr">
        <is>
          <t>при эталонных конверсиях ≈ 81 590 ₽</t>
        </is>
      </c>
    </row>
    <row r="13"/>
    <row r="14">
      <c r="B14" s="3" t="inlineStr">
        <is>
          <t>ЛИНИЯ А — ЧТО ГОТОВО / ЧТО ЖДЁТ</t>
        </is>
      </c>
    </row>
    <row r="15">
      <c r="B15" s="2" t="inlineStr">
        <is>
          <t>Калькулятор, дашборд, гайд, чек-лист (4 продукта)</t>
        </is>
      </c>
      <c r="C15" s="14" t="inlineStr">
        <is>
          <t>ГОТОВО</t>
        </is>
      </c>
      <c r="D15" s="15" t="inlineStr">
        <is>
          <t>products/ в репозитории сервиса</t>
        </is>
      </c>
    </row>
    <row r="16">
      <c r="B16" s="2" t="inlineStr">
        <is>
          <t>Серия 15 писем + поведенческие триггеры</t>
        </is>
      </c>
      <c r="C16" s="14" t="inlineStr">
        <is>
          <t>ГОТОВО</t>
        </is>
      </c>
      <c r="D16" s="15" t="inlineStr">
        <is>
          <t>products/bot-letters.md</t>
        </is>
      </c>
    </row>
    <row r="17">
      <c r="B17" s="2" t="inlineStr">
        <is>
          <t>Ролик №1 «Селлер покупает 3 вещи»</t>
        </is>
      </c>
      <c r="C17" s="14" t="inlineStr">
        <is>
          <t>ГОТОВО</t>
        </is>
      </c>
      <c r="D17" s="15" t="inlineStr">
        <is>
          <t>reel_3veshi_v1.mp4; озвучку заменить по vidIQ</t>
        </is>
      </c>
    </row>
    <row r="18">
      <c r="B18" s="2" t="inlineStr">
        <is>
          <t>Сайт: дашборд + диагностика + оффер</t>
        </is>
      </c>
      <c r="C18" s="14" t="inlineStr">
        <is>
          <t>ГОТОВО</t>
        </is>
      </c>
      <c r="D18" s="15" t="inlineStr">
        <is>
          <t>mp.ridfinance.ru, /razbor/</t>
        </is>
      </c>
    </row>
    <row r="19">
      <c r="B19" s="2" t="inlineStr">
        <is>
          <t>Оплата в боте (Tribute/Prodamus)</t>
        </is>
      </c>
      <c r="C19" s="16" t="inlineStr">
        <is>
          <t>ЖДЁТ ВАС</t>
        </is>
      </c>
      <c r="D19" s="15" t="inlineStr">
        <is>
          <t>без неё воронка не продаёт</t>
        </is>
      </c>
    </row>
    <row r="20">
      <c r="B20" s="2" t="inlineStr">
        <is>
          <t>Запись экрана дашборда (мастер-класс 7–10 мин)</t>
        </is>
      </c>
      <c r="C20" s="16" t="inlineStr">
        <is>
          <t>ЖДЁТ ВАС</t>
        </is>
      </c>
      <c r="D20" s="15" t="inlineStr">
        <is>
          <t>подарок в письмах 2–3 и материал ролика</t>
        </is>
      </c>
    </row>
    <row r="21"/>
    <row r="22">
      <c r="B22" s="3" t="inlineStr">
        <is>
          <t>ЛИНИЯ Б — VIBEFIN (1С/Фреш/Google-таблицы → дашборд)</t>
        </is>
      </c>
    </row>
    <row r="23" ht="28" customHeight="1">
      <c r="B23" s="2" t="inlineStr">
        <is>
          <t>Воронка: страница оффера → анкета 3 вопроса → бот (код vf_) → бриф в переписке → точная цена → внедрение → сопровождение.</t>
        </is>
      </c>
    </row>
    <row r="24">
      <c r="B24" s="6" t="inlineStr">
        <is>
          <t>Внедрений в месяц, шт. (план)</t>
        </is>
      </c>
      <c r="C24" s="7" t="n">
        <v>2</v>
      </c>
      <c r="E24" s="6" t="inlineStr">
        <is>
          <t>делаются по одному, очередь</t>
        </is>
      </c>
    </row>
    <row r="25">
      <c r="B25" s="6" t="inlineStr">
        <is>
          <t>Средний чек внедрения</t>
        </is>
      </c>
      <c r="C25" s="10" t="n">
        <v>30000</v>
      </c>
      <c r="E25" s="6" t="inlineStr">
        <is>
          <t>утверждено: от 30 000 ₽, точная цена после брифа</t>
        </is>
      </c>
    </row>
    <row r="26">
      <c r="B26" s="6" t="inlineStr">
        <is>
          <t>Абонентов сопровождения, шт. (план)</t>
        </is>
      </c>
      <c r="C26" s="7" t="n">
        <v>3</v>
      </c>
      <c r="E26" s="6" t="inlineStr">
        <is>
          <t>9 900 ₽/мес, отключается в любой месяц</t>
        </is>
      </c>
    </row>
    <row r="27">
      <c r="B27" s="6" t="inlineStr">
        <is>
          <t>Тариф сопровождения</t>
        </is>
      </c>
      <c r="C27" s="10" t="n">
        <v>9900</v>
      </c>
    </row>
    <row r="28" ht="22" customHeight="1">
      <c r="B28" s="11" t="inlineStr">
        <is>
          <t>ВЫРУЧКА ЛИНИИ Б, МЕС</t>
        </is>
      </c>
      <c r="C28" s="12">
        <f>C24*C25+C26*C27</f>
        <v/>
      </c>
      <c r="E28" s="13" t="inlineStr">
        <is>
          <t>план по вашим вводным в жёлтых ячейках</t>
        </is>
      </c>
    </row>
    <row r="29"/>
    <row r="30">
      <c r="B30" s="3" t="inlineStr">
        <is>
          <t>ЛИНИЯ Б — ЧТО ГОТОВО / ЧТО ЖДЁТ</t>
        </is>
      </c>
    </row>
    <row r="31">
      <c r="B31" s="2" t="inlineStr">
        <is>
          <t>Страница оффера (цены утверждены)</t>
        </is>
      </c>
      <c r="C31" s="14" t="inlineStr">
        <is>
          <t>ГОТОВО</t>
        </is>
      </c>
      <c r="D31" s="15" t="inlineStr">
        <is>
          <t>mp.ridfinance.ru/vibefin/ и репозиторий vibefin-ai</t>
        </is>
      </c>
    </row>
    <row r="32">
      <c r="B32" s="2" t="inlineStr">
        <is>
          <t>Ответы бота на анкету vf_ (день 0, дожимы, цена)</t>
        </is>
      </c>
      <c r="C32" s="14" t="inlineStr">
        <is>
          <t>ГОТОВО</t>
        </is>
      </c>
      <c r="D32" s="15" t="inlineStr">
        <is>
          <t>vibefin-ai/bot-replies.md</t>
        </is>
      </c>
    </row>
    <row r="33">
      <c r="B33" s="2" t="inlineStr">
        <is>
          <t>Отстройка от курсов (эфир конкурентки 01.10)</t>
        </is>
      </c>
      <c r="C33" s="14" t="inlineStr">
        <is>
          <t>ГОТОВО</t>
        </is>
      </c>
      <c r="D33" s="15" t="inlineStr">
        <is>
          <t>страница вышла до эфира</t>
        </is>
      </c>
    </row>
    <row r="34">
      <c r="B34" s="2" t="inlineStr">
        <is>
          <t>Вставить тексты в конструктор бота</t>
        </is>
      </c>
      <c r="C34" s="16" t="inlineStr">
        <is>
          <t>ЖДЁТ ВАС</t>
        </is>
      </c>
      <c r="D34" s="15" t="inlineStr">
        <is>
          <t>коды d3_ = селлеры, vf_ = 1С-клиенты</t>
        </is>
      </c>
    </row>
    <row r="35">
      <c r="B35" s="2" t="inlineStr">
        <is>
          <t>Витрина результата</t>
        </is>
      </c>
      <c r="C35" s="14" t="inlineStr">
        <is>
          <t>ГОТОВО</t>
        </is>
      </c>
      <c r="D35" s="15" t="inlineStr">
        <is>
          <t>fin-dashboard-appscript.lovable.app</t>
        </is>
      </c>
    </row>
    <row r="36"/>
    <row r="37" ht="26" customHeight="1">
      <c r="B37" s="17" t="inlineStr">
        <is>
          <t>ИТОГО ПЛАН, МЕС</t>
        </is>
      </c>
      <c r="C37" s="18">
        <f>C12+C28</f>
        <v/>
      </c>
      <c r="D37" s="19" t="inlineStr">
        <is>
          <t>линия А по эталонным конверсиям + линия Б по вашим вводным</t>
        </is>
      </c>
    </row>
    <row r="38"/>
    <row r="39" ht="30" customHeight="1">
      <c r="B39" s="2" t="inlineStr">
        <is>
          <t>Разделение линий: у селлеров и 1С-клиентов разные страницы, разные лид-магниты и разные ветки бота. Пересечение одно — сам бот @RidFinancebot_bot (различает по коду ссылки).</t>
        </is>
      </c>
    </row>
  </sheetData>
  <mergeCells count="16">
    <mergeCell ref="D20:E20"/>
    <mergeCell ref="B23:E23"/>
    <mergeCell ref="D16:E16"/>
    <mergeCell ref="D15:E15"/>
    <mergeCell ref="D19:E19"/>
    <mergeCell ref="D33:E33"/>
    <mergeCell ref="D34:E34"/>
    <mergeCell ref="D37:E37"/>
    <mergeCell ref="B39:E39"/>
    <mergeCell ref="D32:E32"/>
    <mergeCell ref="B3:E3"/>
    <mergeCell ref="B2:E2"/>
    <mergeCell ref="D18:E18"/>
    <mergeCell ref="D31:E31"/>
    <mergeCell ref="D17:E17"/>
    <mergeCell ref="D35:E35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2026-09-28T09:58:22Z</dcterms:created>
  <dcterms:modified xsi:type="dcterms:W3CDTF">2026-09-28T09:58:22Z</dcterms:modified>
</cp:coreProperties>
</file>