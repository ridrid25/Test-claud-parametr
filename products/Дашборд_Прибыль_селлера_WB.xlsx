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анные" sheetId="1" state="visible" r:id="rId3"/>
    <sheet name="Каскад прибыли" sheetId="2" state="visible" r:id="rId4"/>
  </sheets>
  <definedNames>
    <definedName function="false" hidden="true" localSheetId="0" name="_xlnm._FilterDatabase" vbProcedure="false">Данные!$A$3:$G$3</definedName>
    <definedName function="false" hidden="true" localSheetId="1" name="_xlnm._FilterDatabase" vbProcedure="false">'Каскад прибыли'!$B$5:$D$5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<sst xmlns="http://schemas.openxmlformats.org/spreadsheetml/2006/main" count="48" uniqueCount="46">
  <si>
    <t xml:space="preserve">ШАГ 1. Вставьте сюда строки из детализации еженедельного отчёта WB</t>
  </si>
  <si>
    <t xml:space="preserve">Нужны 7 колонок из отчёта (значения ниже — пример, замените своими). Строки добавляйте сколько угодно — каскад считает диапазон до 5000 строк.</t>
  </si>
  <si>
    <t xml:space="preserve">Обоснование для оплаты</t>
  </si>
  <si>
    <t xml:space="preserve">Кол-во, шт</t>
  </si>
  <si>
    <t xml:space="preserve">Продано (Пр), ₽</t>
  </si>
  <si>
    <t xml:space="preserve">К перечислению за товар, ₽</t>
  </si>
  <si>
    <t xml:space="preserve">Логистика, ₽</t>
  </si>
  <si>
    <t xml:space="preserve">Штрафы, ₽</t>
  </si>
  <si>
    <t xml:space="preserve">Удержания, ₽</t>
  </si>
  <si>
    <t xml:space="preserve">Продажа</t>
  </si>
  <si>
    <t xml:space="preserve">Возврат</t>
  </si>
  <si>
    <t xml:space="preserve">Логистика</t>
  </si>
  <si>
    <t xml:space="preserve">Штраф</t>
  </si>
  <si>
    <t xml:space="preserve">Удержание</t>
  </si>
  <si>
    <t xml:space="preserve">Добровольная компенсация при возврате</t>
  </si>
  <si>
    <t xml:space="preserve">Оказание услуг «ВБ.Продвижение»</t>
  </si>
  <si>
    <t xml:space="preserve">Примечание: строка «Продажа» с нулевым «Продано» — компенсационная: ВБ оформляет её как продажу с ценой 0. В штуках каскад её не считает, в деньгах — оставляет.</t>
  </si>
  <si>
    <t xml:space="preserve">ПРИБЫЛЬ СЕЛЛЕРА ЗА 15 МИНУТ — КАСКАД ПО ОТЧЁТУ WB</t>
  </si>
  <si>
    <t xml:space="preserve">Все статьи всегда на месте, нулевые не удаляются — в новом периоде статья с суммой появится сама. Скрыть нулевые строки можно воронкой автофильтра ▼ в шапке таблицы.</t>
  </si>
  <si>
    <t xml:space="preserve">Статья</t>
  </si>
  <si>
    <t xml:space="preserve">Сумма, ₽</t>
  </si>
  <si>
    <t xml:space="preserve">Как посчитано</t>
  </si>
  <si>
    <t xml:space="preserve">Продано товара (Пр)</t>
  </si>
  <si>
    <t xml:space="preserve">продажи минус возвраты, в ценах реализации</t>
  </si>
  <si>
    <t xml:space="preserve">Вознаграждение ВВ (комиссия)</t>
  </si>
  <si>
    <t xml:space="preserve">разница между Пр и «к перечислению за товар»</t>
  </si>
  <si>
    <t xml:space="preserve">К перечислению за товар</t>
  </si>
  <si>
    <t xml:space="preserve">Компенсации</t>
  </si>
  <si>
    <t xml:space="preserve">в деньгах остаются; в штуках не считаются</t>
  </si>
  <si>
    <t xml:space="preserve">Штрафы</t>
  </si>
  <si>
    <t xml:space="preserve">Удержания</t>
  </si>
  <si>
    <t xml:space="preserve">Прочее (проверить!)</t>
  </si>
  <si>
    <t xml:space="preserve">незнакомые формулировки падают сюда, а не ломают расчёт</t>
  </si>
  <si>
    <t xml:space="preserve">К ПЕРЕЧИСЛЕНИЮ (РАСЧЁТ)</t>
  </si>
  <si>
    <t xml:space="preserve">К перечислению по отчёту WB (впишите итог из отчёта)</t>
  </si>
  <si>
    <t xml:space="preserve">РАСХОЖДЕНИЕ (должно быть 0,00 ₽)</t>
  </si>
  <si>
    <t xml:space="preserve">расхождение — это ошибка, а не «примерно сошлось»</t>
  </si>
  <si>
    <t xml:space="preserve">ЭКОНОМИКА ПЕРИОДА</t>
  </si>
  <si>
    <t xml:space="preserve">Продано, шт (компенсационные строки не считаются)</t>
  </si>
  <si>
    <t xml:space="preserve">Себестоимость единицы (закупка + доставка до вас)</t>
  </si>
  <si>
    <t xml:space="preserve">Себестоимость проданного</t>
  </si>
  <si>
    <t xml:space="preserve">Ставка налога (УСН «доходы» — от Пр)</t>
  </si>
  <si>
    <t xml:space="preserve">Налог</t>
  </si>
  <si>
    <t xml:space="preserve">ПРИБЫЛЬ ПЕРИОДА</t>
  </si>
  <si>
    <t xml:space="preserve">Маржинальность (прибыль / Пр)</t>
  </si>
  <si>
    <t xml:space="preserve">Автоматически, по всем неделям и карточкам сразу — на mp.ridfinance.ru. Вопросы: @RidFinancebot_bot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</si>
</sst>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[RED]\-#,##0;0"/>
    <numFmt numFmtId="166" formatCode="#,##0.00&quot; ₽&quot;;[RED]\-#,##0.00&quot; ₽&quot;;0.00&quot; ₽&quot;"/>
    <numFmt numFmtId="167" formatCode="0.0%;[RED]\-0.0%;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sz val="16"/>
      <color rgb="FFFFFFFF"/>
      <name val="Times New Roman"/>
      <family val="0"/>
      <charset val="1"/>
    </font>
    <font>
      <sz val="12"/>
      <color rgb="FFC00000"/>
      <name val="Times New Roman"/>
      <family val="0"/>
      <charset val="1"/>
    </font>
    <font>
      <sz val="12"/>
      <color rgb="FF1E7B1E"/>
      <name val="Times New Roman"/>
      <family val="0"/>
      <charset val="1"/>
    </font>
    <font>
      <b val="true"/>
      <sz val="14"/>
      <color rgb="FF0A655E"/>
      <name val="Times New Roman"/>
      <family val="0"/>
      <charset val="1"/>
    </font>
    <font>
      <b val="true"/>
      <sz val="12"/>
      <color rgb="FFC00000"/>
      <name val="Times New Roman"/>
      <family val="0"/>
      <charset val="1"/>
    </font>
    <font>
      <b val="true"/>
      <sz val="13"/>
      <color rgb="FFA01A6E"/>
      <name val="Times New Roman"/>
      <family val="0"/>
      <charset val="1"/>
    </font>
    <font>
      <b val="true"/>
      <sz val="12"/>
      <color rgb="FF0A655E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655E"/>
        <bgColor rgb="FF008080"/>
      </patternFill>
    </fill>
    <fill>
      <patternFill patternType="solid">
        <fgColor rgb="FFF2F7F6"/>
        <bgColor rgb="FFFFFFFF"/>
      </patternFill>
    </fill>
    <fill>
      <patternFill patternType="solid">
        <fgColor rgb="FFFFF2A8"/>
        <bgColor rgb="FFF2F7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A655E"/>
          <bgColor rgb="FF000000"/>
        </patternFill>
      </fill>
    </dxf>
    <dxf>
      <fill>
        <patternFill patternType="solid">
          <fgColor rgb="FFF2F7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7B1E"/>
      <rgbColor rgb="FF000080"/>
      <rgbColor rgb="FF808000"/>
      <rgbColor rgb="FF800080"/>
      <rgbColor rgb="FF0A655E"/>
      <rgbColor rgb="FFBFBFBF"/>
      <rgbColor rgb="FF808080"/>
      <rgbColor rgb="FF9999FF"/>
      <rgbColor rgb="FFA01A6E"/>
      <rgbColor rgb="FFF2F7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5" hidden="false" customHeight="false" outlineLevel="0" collapsed="false">
      <c r="A4" s="4" t="s">
        <v>9</v>
      </c>
      <c r="B4" s="5" t="n">
        <v>118</v>
      </c>
      <c r="C4" s="6" t="n">
        <v>175840</v>
      </c>
      <c r="D4" s="6" t="n">
        <v>135397</v>
      </c>
      <c r="E4" s="6" t="n">
        <v>0</v>
      </c>
      <c r="F4" s="6" t="n">
        <v>0</v>
      </c>
      <c r="G4" s="6" t="n">
        <v>0</v>
      </c>
    </row>
    <row r="5" customFormat="false" ht="15" hidden="false" customHeight="false" outlineLevel="0" collapsed="false">
      <c r="A5" s="4" t="s">
        <v>9</v>
      </c>
      <c r="B5" s="5" t="n">
        <v>2</v>
      </c>
      <c r="C5" s="6" t="n">
        <v>0</v>
      </c>
      <c r="D5" s="6" t="n">
        <v>2400</v>
      </c>
      <c r="E5" s="6" t="n">
        <v>0</v>
      </c>
      <c r="F5" s="6" t="n">
        <v>0</v>
      </c>
      <c r="G5" s="6" t="n">
        <v>0</v>
      </c>
    </row>
    <row r="6" customFormat="false" ht="15" hidden="false" customHeight="false" outlineLevel="0" collapsed="false">
      <c r="A6" s="4" t="s">
        <v>10</v>
      </c>
      <c r="B6" s="5" t="n">
        <v>6</v>
      </c>
      <c r="C6" s="6" t="n">
        <v>8940</v>
      </c>
      <c r="D6" s="6" t="n">
        <v>6883</v>
      </c>
      <c r="E6" s="6" t="n">
        <v>0</v>
      </c>
      <c r="F6" s="6" t="n">
        <v>0</v>
      </c>
      <c r="G6" s="6" t="n">
        <v>0</v>
      </c>
    </row>
    <row r="7" customFormat="false" ht="15" hidden="false" customHeight="false" outlineLevel="0" collapsed="false">
      <c r="A7" s="4" t="s">
        <v>11</v>
      </c>
      <c r="B7" s="5" t="n">
        <v>0</v>
      </c>
      <c r="C7" s="6" t="n">
        <v>0</v>
      </c>
      <c r="D7" s="6" t="n">
        <v>0</v>
      </c>
      <c r="E7" s="6" t="n">
        <v>9840</v>
      </c>
      <c r="F7" s="6" t="n">
        <v>0</v>
      </c>
      <c r="G7" s="6" t="n">
        <v>0</v>
      </c>
    </row>
    <row r="8" customFormat="false" ht="15" hidden="false" customHeight="false" outlineLevel="0" collapsed="false">
      <c r="A8" s="4" t="s">
        <v>12</v>
      </c>
      <c r="B8" s="5" t="n">
        <v>0</v>
      </c>
      <c r="C8" s="6" t="n">
        <v>0</v>
      </c>
      <c r="D8" s="6" t="n">
        <v>0</v>
      </c>
      <c r="E8" s="6" t="n">
        <v>0</v>
      </c>
      <c r="F8" s="6" t="n">
        <v>1500</v>
      </c>
      <c r="G8" s="6" t="n">
        <v>0</v>
      </c>
    </row>
    <row r="9" customFormat="false" ht="15" hidden="false" customHeight="false" outlineLevel="0" collapsed="false">
      <c r="A9" s="4" t="s">
        <v>13</v>
      </c>
      <c r="B9" s="5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2100</v>
      </c>
    </row>
    <row r="10" customFormat="false" ht="15" hidden="false" customHeight="false" outlineLevel="0" collapsed="false">
      <c r="A10" s="4" t="s">
        <v>14</v>
      </c>
      <c r="B10" s="5" t="n">
        <v>1</v>
      </c>
      <c r="C10" s="6" t="n">
        <v>0</v>
      </c>
      <c r="D10" s="6" t="n">
        <v>800</v>
      </c>
      <c r="E10" s="6" t="n">
        <v>0</v>
      </c>
      <c r="F10" s="6" t="n">
        <v>0</v>
      </c>
      <c r="G10" s="6" t="n">
        <v>0</v>
      </c>
    </row>
    <row r="11" customFormat="false" ht="15" hidden="false" customHeight="false" outlineLevel="0" collapsed="false">
      <c r="A11" s="4" t="s">
        <v>15</v>
      </c>
      <c r="B11" s="5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4200</v>
      </c>
    </row>
    <row r="13" customFormat="false" ht="30" hidden="false" customHeight="true" outlineLevel="0" collapsed="false">
      <c r="A13" s="7" t="s">
        <v>16</v>
      </c>
      <c r="B13" s="7"/>
      <c r="C13" s="7"/>
      <c r="D13" s="7"/>
      <c r="E13" s="7"/>
      <c r="F13" s="7"/>
      <c r="G13" s="7"/>
    </row>
  </sheetData>
  <autoFilter ref="A3:G3"/>
  <mergeCells count="3">
    <mergeCell ref="A1:G1"/>
    <mergeCell ref="A2:G2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46"/>
  </cols>
  <sheetData>
    <row r="2" customFormat="false" ht="30" hidden="false" customHeight="true" outlineLevel="0" collapsed="false">
      <c r="B2" s="8" t="s">
        <v>17</v>
      </c>
      <c r="C2" s="8"/>
      <c r="D2" s="8"/>
    </row>
    <row r="3" customFormat="false" ht="31.5" hidden="false" customHeight="true" outlineLevel="0" collapsed="false">
      <c r="B3" s="9" t="s">
        <v>18</v>
      </c>
      <c r="C3" s="9"/>
      <c r="D3" s="9"/>
    </row>
    <row r="5" customFormat="false" ht="15" hidden="false" customHeight="false" outlineLevel="0" collapsed="false">
      <c r="B5" s="10" t="s">
        <v>19</v>
      </c>
      <c r="C5" s="11" t="s">
        <v>20</v>
      </c>
      <c r="D5" s="10" t="s">
        <v>21</v>
      </c>
    </row>
    <row r="6" customFormat="false" ht="15" hidden="false" customHeight="false" outlineLevel="0" collapsed="false">
      <c r="B6" s="12" t="s">
        <v>22</v>
      </c>
      <c r="C6" s="13" t="n">
        <f aca="false">SUMIFS(Данные!$C$4:$C$5000,Данные!$A$4:$A$5000,"Продажа")-SUMIFS(Данные!$C$4:$C$5000,Данные!$A$4:$A$5000,"Возврат")</f>
        <v>166900</v>
      </c>
      <c r="D6" s="12" t="s">
        <v>23</v>
      </c>
    </row>
    <row r="7" customFormat="false" ht="15" hidden="false" customHeight="false" outlineLevel="0" collapsed="false">
      <c r="B7" s="14" t="s">
        <v>24</v>
      </c>
      <c r="C7" s="15" t="n">
        <f aca="false">C6-(SUMIFS(Данные!$D$4:$D$5000,Данные!$A$4:$A$5000,"Продажа")-SUMIFS(Данные!$D$4:$D$5000,Данные!$A$4:$A$5000,"Возврат"))</f>
        <v>35986</v>
      </c>
      <c r="D7" s="12" t="s">
        <v>25</v>
      </c>
    </row>
    <row r="8" customFormat="false" ht="15" hidden="false" customHeight="false" outlineLevel="0" collapsed="false">
      <c r="B8" s="16" t="s">
        <v>26</v>
      </c>
      <c r="C8" s="17" t="n">
        <f aca="false">SUMIFS(Данные!$D$4:$D$5000,Данные!$A$4:$A$5000,"Продажа")-SUMIFS(Данные!$D$4:$D$5000,Данные!$A$4:$A$5000,"Возврат")</f>
        <v>130914</v>
      </c>
    </row>
    <row r="9" customFormat="false" ht="15" hidden="false" customHeight="false" outlineLevel="0" collapsed="false">
      <c r="B9" s="18" t="s">
        <v>27</v>
      </c>
      <c r="C9" s="19" t="n">
        <f aca="false">SUMPRODUCT(ISNUMBER(SEARCH("компенсац",Данные!$A$4:$A$5000))*Данные!$D$4:$D$5000)</f>
        <v>800</v>
      </c>
      <c r="D9" s="12" t="s">
        <v>28</v>
      </c>
    </row>
    <row r="10" customFormat="false" ht="15" hidden="false" customHeight="false" outlineLevel="0" collapsed="false">
      <c r="B10" s="14" t="s">
        <v>11</v>
      </c>
      <c r="C10" s="15" t="n">
        <f aca="false">-SUM(Данные!$E$4:$E$5000)</f>
        <v>-9840</v>
      </c>
    </row>
    <row r="11" customFormat="false" ht="15" hidden="false" customHeight="false" outlineLevel="0" collapsed="false">
      <c r="B11" s="14" t="s">
        <v>29</v>
      </c>
      <c r="C11" s="15" t="n">
        <f aca="false">-SUM(Данные!$F$4:$F$5000)</f>
        <v>-1500</v>
      </c>
    </row>
    <row r="12" customFormat="false" ht="15" hidden="false" customHeight="false" outlineLevel="0" collapsed="false">
      <c r="B12" s="14" t="s">
        <v>30</v>
      </c>
      <c r="C12" s="15" t="n">
        <f aca="false">-SUM(Данные!$G$4:$G$5000)</f>
        <v>-6300</v>
      </c>
    </row>
    <row r="13" customFormat="false" ht="26.85" hidden="false" customHeight="false" outlineLevel="0" collapsed="false">
      <c r="B13" s="12" t="s">
        <v>31</v>
      </c>
      <c r="C13" s="13" t="n">
        <f aca="false">SUMPRODUCT((Данные!$A$4:$A$5000&lt;&gt;"Продажа")*(Данные!$A$4:$A$5000&lt;&gt;"Возврат")*(1-ISNUMBER(SEARCH("компенсац",Данные!$A$4:$A$5000)))*(Данные!$A$4:$A$5000&lt;&gt;"")*Данные!$D$4:$D$5000)</f>
        <v>0</v>
      </c>
      <c r="D13" s="20" t="s">
        <v>32</v>
      </c>
    </row>
    <row r="14" customFormat="false" ht="24" hidden="false" customHeight="true" outlineLevel="0" collapsed="false">
      <c r="B14" s="21" t="s">
        <v>33</v>
      </c>
      <c r="C14" s="22" t="n">
        <f aca="false">C8+C9+C10+C11+C12+C13</f>
        <v>114074</v>
      </c>
    </row>
    <row r="15" customFormat="false" ht="15" hidden="false" customHeight="false" outlineLevel="0" collapsed="false">
      <c r="B15" s="12" t="s">
        <v>34</v>
      </c>
      <c r="C15" s="6" t="n">
        <v>114074</v>
      </c>
    </row>
    <row r="16" customFormat="false" ht="15" hidden="false" customHeight="false" outlineLevel="0" collapsed="false">
      <c r="B16" s="16" t="s">
        <v>35</v>
      </c>
      <c r="C16" s="23" t="n">
        <f aca="false">C14-C15</f>
        <v>0</v>
      </c>
      <c r="D16" s="12" t="s">
        <v>36</v>
      </c>
    </row>
    <row r="18" customFormat="false" ht="16.15" hidden="false" customHeight="false" outlineLevel="0" collapsed="false">
      <c r="B18" s="24" t="s">
        <v>37</v>
      </c>
    </row>
    <row r="19" customFormat="false" ht="15" hidden="false" customHeight="false" outlineLevel="0" collapsed="false">
      <c r="B19" s="12" t="s">
        <v>38</v>
      </c>
      <c r="C19" s="25" t="n">
        <f aca="false">SUMIFS(Данные!$B$4:$B$5000,Данные!$A$4:$A$5000,"Продажа",Данные!$C$4:$C$5000,"&gt;0")-SUMIFS(Данные!$B$4:$B$5000,Данные!$A$4:$A$5000,"Возврат",Данные!$C$4:$C$5000,"&gt;0")</f>
        <v>112</v>
      </c>
    </row>
    <row r="20" customFormat="false" ht="15" hidden="false" customHeight="false" outlineLevel="0" collapsed="false">
      <c r="B20" s="12" t="s">
        <v>39</v>
      </c>
      <c r="C20" s="6" t="n">
        <v>420</v>
      </c>
    </row>
    <row r="21" customFormat="false" ht="15" hidden="false" customHeight="false" outlineLevel="0" collapsed="false">
      <c r="B21" s="14" t="s">
        <v>40</v>
      </c>
      <c r="C21" s="15" t="n">
        <f aca="false">-C19*C20</f>
        <v>-47040</v>
      </c>
    </row>
    <row r="22" customFormat="false" ht="15" hidden="false" customHeight="false" outlineLevel="0" collapsed="false">
      <c r="B22" s="12" t="s">
        <v>41</v>
      </c>
      <c r="C22" s="26" t="n">
        <v>0.06</v>
      </c>
    </row>
    <row r="23" customFormat="false" ht="15" hidden="false" customHeight="false" outlineLevel="0" collapsed="false">
      <c r="B23" s="14" t="s">
        <v>42</v>
      </c>
      <c r="C23" s="15" t="n">
        <f aca="false">-C6*C22</f>
        <v>-10014</v>
      </c>
    </row>
    <row r="24" customFormat="false" ht="24" hidden="false" customHeight="true" outlineLevel="0" collapsed="false">
      <c r="B24" s="21" t="s">
        <v>43</v>
      </c>
      <c r="C24" s="22" t="n">
        <f aca="false">C14+C21+C23</f>
        <v>57020</v>
      </c>
    </row>
    <row r="25" customFormat="false" ht="15" hidden="false" customHeight="false" outlineLevel="0" collapsed="false">
      <c r="B25" s="16" t="s">
        <v>44</v>
      </c>
      <c r="C25" s="27" t="n">
        <f aca="false">IF(C6=0,0,C24/C6)</f>
        <v>0.341641701617735</v>
      </c>
    </row>
    <row r="27" customFormat="false" ht="27.75" hidden="false" customHeight="true" outlineLevel="0" collapsed="false">
      <c r="B27" s="28" t="s">
        <v>45</v>
      </c>
      <c r="C27" s="28"/>
      <c r="D27" s="28"/>
    </row>
  </sheetData>
  <autoFilter ref="B5:D5"/>
  <mergeCells count="3">
    <mergeCell ref="B2:D2"/>
    <mergeCell ref="B3:D3"/>
    <mergeCell ref="B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2026-09-23T14:49:41Z</dcterms:created>
  <dc:creator>openpyxl</dc:creator>
  <dc:description/>
  <dc:language>en-US</dc:language>
  <cp:lastModifiedBy/>
  <dcterms:modified xsi:type="dcterms:W3CDTF">2026-09-23T14:49:41Z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